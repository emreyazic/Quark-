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riched BOM" sheetId="1" state="visible" r:id="rId1"/>
    <sheet name="Sourcing Summary" sheetId="2" state="visible" r:id="rId2"/>
    <sheet name="Example Board Cost" sheetId="3" state="visible" r:id="rId3"/>
    <sheet name="Supplier Stock" sheetId="4" state="visible" r:id="rId4"/>
  </sheets>
  <definedNames>
    <definedName name="_xlnm._FilterDatabase" localSheetId="0" hidden="1">'Enriched BOM'!$A$1:$R$3</definedName>
    <definedName name="_xlnm._FilterDatabase" localSheetId="2" hidden="1">'Example Board Cost'!$A$4:$K$5</definedName>
    <definedName name="_xlnm._FilterDatabase" localSheetId="3" hidden="1">'Supplier Stock'!$A$1:$J$3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0.00000"/>
    <numFmt numFmtId="165" formatCode="#,##0.0000"/>
    <numFmt numFmtId="166" formatCode="&quot;$&quot;#,##0.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8e6c9"/>
        <bgColor rgb="00c8e6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4" fontId="0" fillId="0" borderId="0" pivotButton="0" quotePrefix="0" xfId="0"/>
    <xf numFmtId="164" fontId="1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3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4" customWidth="1" min="10" max="10"/>
    <col width="16" customWidth="1" min="11" max="11"/>
    <col width="16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Board Name</t>
        </is>
      </c>
      <c r="B1" s="1" t="inlineStr">
        <is>
          <t>Description</t>
        </is>
      </c>
      <c r="C1" s="1" t="inlineStr">
        <is>
          <t>Designator</t>
        </is>
      </c>
      <c r="D1" s="1" t="inlineStr">
        <is>
          <t>Quantity (Per Board / Total)</t>
        </is>
      </c>
      <c r="E1" s="1" t="inlineStr">
        <is>
          <t>Value</t>
        </is>
      </c>
      <c r="F1" s="1" t="inlineStr">
        <is>
          <t>Manufacturer</t>
        </is>
      </c>
      <c r="G1" s="1" t="inlineStr">
        <is>
          <t>MPN</t>
        </is>
      </c>
      <c r="H1" s="1" t="inlineStr">
        <is>
          <t>Design Item ID</t>
        </is>
      </c>
      <c r="I1" s="1" t="inlineStr">
        <is>
          <t>JLCPCB Part Number</t>
        </is>
      </c>
      <c r="J1" s="1" t="inlineStr">
        <is>
          <t>DigiKey Part Number</t>
        </is>
      </c>
      <c r="K1" s="1" t="inlineStr">
        <is>
          <t>JLCPCB Stock</t>
        </is>
      </c>
      <c r="L1" s="1" t="inlineStr">
        <is>
          <t>DigiKey Stock</t>
        </is>
      </c>
      <c r="M1" s="1" t="inlineStr">
        <is>
          <t>JLCPCB Unit Price</t>
        </is>
      </c>
      <c r="N1" s="1" t="inlineStr">
        <is>
          <t>DigiKey Unit Price</t>
        </is>
      </c>
      <c r="O1" s="1" t="inlineStr">
        <is>
          <t>Pricing Quantity</t>
        </is>
      </c>
      <c r="P1" s="1" t="inlineStr">
        <is>
          <t>JLCPCB Total Price</t>
        </is>
      </c>
      <c r="Q1" s="1" t="inlineStr">
        <is>
          <t>DigiKey Total Price</t>
        </is>
      </c>
      <c r="R1" s="1" t="inlineStr">
        <is>
          <t>Status</t>
        </is>
      </c>
    </row>
    <row r="2">
      <c r="A2" t="inlineStr">
        <is>
          <t>Example Board</t>
        </is>
      </c>
      <c r="B2" t="inlineStr">
        <is>
          <t>Tier pricing verification</t>
        </is>
      </c>
      <c r="C2" t="inlineStr">
        <is>
          <t>U1</t>
        </is>
      </c>
      <c r="D2" s="2" t="n">
        <v>1</v>
      </c>
      <c r="E2" t="inlineStr"/>
      <c r="F2" t="inlineStr">
        <is>
          <t>Example</t>
        </is>
      </c>
      <c r="G2" t="inlineStr">
        <is>
          <t>EXAMPLE-15</t>
        </is>
      </c>
      <c r="H2" t="inlineStr"/>
      <c r="I2" s="3" t="inlineStr">
        <is>
          <t>C123</t>
        </is>
      </c>
      <c r="J2" t="inlineStr">
        <is>
          <t>123-DK</t>
        </is>
      </c>
      <c r="K2" s="2" t="n">
        <v>100</v>
      </c>
      <c r="L2" s="2" t="n">
        <v>100</v>
      </c>
      <c r="M2" s="4" t="n">
        <v>3.5</v>
      </c>
      <c r="N2" s="4" t="n">
        <v>3.5</v>
      </c>
      <c r="O2" t="n">
        <v>15</v>
      </c>
      <c r="P2" s="5" t="n">
        <v>52.5</v>
      </c>
      <c r="Q2" s="5" t="n">
        <v>52.5</v>
      </c>
      <c r="R2" t="inlineStr"/>
    </row>
    <row r="3">
      <c r="O3" s="1" t="inlineStr">
        <is>
          <t>Total Cost</t>
        </is>
      </c>
      <c r="P3" s="6">
        <f>SUM(P2:P2)</f>
        <v/>
      </c>
      <c r="Q3" s="6">
        <f>SUM(Q2:Q2)</f>
        <v/>
      </c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Components</t>
        </is>
      </c>
      <c r="B2" t="n">
        <v>1</v>
      </c>
    </row>
    <row r="3">
      <c r="A3" t="inlineStr">
        <is>
          <t>Valid (Green)</t>
        </is>
      </c>
      <c r="B3" t="n">
        <v>1</v>
      </c>
    </row>
    <row r="4">
      <c r="A4" t="inlineStr">
        <is>
          <t>Manual Review (Yellow)</t>
        </is>
      </c>
      <c r="B4" t="n">
        <v>0</v>
      </c>
    </row>
    <row r="5">
      <c r="A5" t="inlineStr">
        <is>
          <t>API Errors (Red)</t>
        </is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BOM Quantity</t>
        </is>
      </c>
      <c r="B1" s="1" t="inlineStr">
        <is>
          <t>JLCPCB Total</t>
        </is>
      </c>
      <c r="C1" s="1" t="inlineStr">
        <is>
          <t>Remaining DigiKey Total</t>
        </is>
      </c>
      <c r="D1" s="1" t="inlineStr">
        <is>
          <t>Combined Total</t>
        </is>
      </c>
      <c r="E1" s="1" t="inlineStr">
        <is>
          <t>All-DigiKey Total</t>
        </is>
      </c>
      <c r="F1" s="1" t="inlineStr">
        <is>
          <t>Missing Price Count</t>
        </is>
      </c>
    </row>
    <row r="2">
      <c r="A2" t="inlineStr">
        <is>
          <t>15x</t>
        </is>
      </c>
      <c r="B2" s="7" t="n">
        <v>52.5</v>
      </c>
      <c r="C2" s="7" t="n">
        <v>0</v>
      </c>
      <c r="D2" s="7" t="n">
        <v>52.5</v>
      </c>
      <c r="E2" s="7" t="n">
        <v>52.5</v>
      </c>
      <c r="F2" t="n">
        <v>0</v>
      </c>
    </row>
    <row r="4">
      <c r="A4" s="1" t="inlineStr">
        <is>
          <t>Designator</t>
        </is>
      </c>
      <c r="B4" s="1" t="inlineStr">
        <is>
          <t>Quantity</t>
        </is>
      </c>
      <c r="C4" s="1" t="inlineStr">
        <is>
          <t>Value</t>
        </is>
      </c>
      <c r="D4" s="1" t="inlineStr">
        <is>
          <t>Manufacturer</t>
        </is>
      </c>
      <c r="E4" s="1" t="inlineStr">
        <is>
          <t>MPN</t>
        </is>
      </c>
      <c r="F4" s="1" t="inlineStr">
        <is>
          <t>JLCPCB Part Number</t>
        </is>
      </c>
      <c r="G4" s="1" t="inlineStr">
        <is>
          <t>Status</t>
        </is>
      </c>
      <c r="H4" s="1" t="inlineStr">
        <is>
          <t>15x JLCPCB Unit</t>
        </is>
      </c>
      <c r="I4" s="1" t="inlineStr">
        <is>
          <t>15x DigiKey Unit</t>
        </is>
      </c>
      <c r="J4" s="1" t="inlineStr">
        <is>
          <t>15x Used Source</t>
        </is>
      </c>
      <c r="K4" s="1" t="inlineStr">
        <is>
          <t>15x Line Total</t>
        </is>
      </c>
    </row>
    <row r="5">
      <c r="A5" t="inlineStr">
        <is>
          <t>U1</t>
        </is>
      </c>
      <c r="B5" s="8" t="n">
        <v>1</v>
      </c>
      <c r="C5" t="inlineStr"/>
      <c r="D5" t="inlineStr">
        <is>
          <t>Example</t>
        </is>
      </c>
      <c r="E5" t="inlineStr">
        <is>
          <t>EXAMPLE-15</t>
        </is>
      </c>
      <c r="F5" t="inlineStr">
        <is>
          <t>C123</t>
        </is>
      </c>
      <c r="G5" t="inlineStr">
        <is>
          <t>Valid</t>
        </is>
      </c>
      <c r="H5" s="7" t="n">
        <v>3.5</v>
      </c>
      <c r="I5" s="7" t="n">
        <v>3.5</v>
      </c>
      <c r="J5" t="inlineStr">
        <is>
          <t>JLCPCB</t>
        </is>
      </c>
      <c r="K5" s="7" t="n">
        <v>52.5</v>
      </c>
    </row>
  </sheetData>
  <autoFilter ref="A4:K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2" customWidth="1" min="3" max="3"/>
    <col width="26" customWidth="1" min="4" max="4"/>
    <col width="14" customWidth="1" min="5" max="5"/>
    <col width="16" customWidth="1" min="6" max="6"/>
    <col width="16" customWidth="1" min="7" max="7"/>
    <col width="28" customWidth="1" min="8" max="8"/>
  </cols>
  <sheetData>
    <row r="1">
      <c r="A1" s="1" t="inlineStr">
        <is>
          <t>MPN</t>
        </is>
      </c>
      <c r="B1" s="1" t="inlineStr">
        <is>
          <t>Design Item ID</t>
        </is>
      </c>
      <c r="C1" s="1" t="inlineStr">
        <is>
          <t>Supplier</t>
        </is>
      </c>
      <c r="D1" s="1" t="inlineStr">
        <is>
          <t>Supplier Part Number</t>
        </is>
      </c>
      <c r="E1" s="1" t="inlineStr">
        <is>
          <t>Stock</t>
        </is>
      </c>
      <c r="F1" s="1" t="inlineStr">
        <is>
          <t>Unit Price</t>
        </is>
      </c>
      <c r="G1" s="1" t="inlineStr">
        <is>
          <t>Pricing Quantity</t>
        </is>
      </c>
      <c r="H1" s="1" t="inlineStr">
        <is>
          <t>Total Price</t>
        </is>
      </c>
      <c r="I1" s="1" t="inlineStr">
        <is>
          <t>Required Stock</t>
        </is>
      </c>
      <c r="J1" s="1" t="inlineStr">
        <is>
          <t>Status</t>
        </is>
      </c>
    </row>
    <row r="2">
      <c r="A2" t="inlineStr">
        <is>
          <t>EXAMPLE-15</t>
        </is>
      </c>
      <c r="B2" t="inlineStr"/>
      <c r="C2" t="inlineStr">
        <is>
          <t>JLCPCB</t>
        </is>
      </c>
      <c r="D2" t="inlineStr">
        <is>
          <t>C123</t>
        </is>
      </c>
      <c r="E2" t="n">
        <v>100</v>
      </c>
      <c r="F2" s="9" t="n">
        <v>3.5</v>
      </c>
      <c r="G2" t="n">
        <v>15</v>
      </c>
      <c r="H2" s="9" t="n">
        <v>52.5</v>
      </c>
      <c r="I2" t="n">
        <v>20</v>
      </c>
      <c r="J2" t="inlineStr"/>
    </row>
    <row r="3">
      <c r="A3" t="inlineStr">
        <is>
          <t>EXAMPLE-15</t>
        </is>
      </c>
      <c r="B3" t="inlineStr"/>
      <c r="C3" t="inlineStr">
        <is>
          <t>DigiKey</t>
        </is>
      </c>
      <c r="D3" t="inlineStr">
        <is>
          <t>123-DK</t>
        </is>
      </c>
      <c r="E3" t="n">
        <v>100</v>
      </c>
      <c r="F3" s="9" t="n">
        <v>3.5</v>
      </c>
      <c r="G3" t="n">
        <v>15</v>
      </c>
      <c r="H3" s="9" t="n">
        <v>52.5</v>
      </c>
      <c r="I3" t="n">
        <v>20</v>
      </c>
      <c r="J3" t="inlineStr">
        <is>
          <t>Found</t>
        </is>
      </c>
    </row>
  </sheetData>
  <autoFilter ref="A1:J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2026-08-14T11:23:22Z</dcterms:created>
  <dcterms:modified xsi:type="dcterms:W3CDTF">2026-08-14T11:23:22Z</dcterms:modified>
</cp:coreProperties>
</file>