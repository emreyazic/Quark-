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" sheetId="1" state="visible" r:id="rId1"/>
    <sheet name="main" sheetId="2" state="visible" r:id="rId2"/>
    <sheet name="control" sheetId="3" state="visible" r:id="rId3"/>
    <sheet name="All Aggregated" sheetId="4" state="visible" r:id="rId4"/>
    <sheet name="Mutual Components" sheetId="5" state="visible" r:id="rId5"/>
    <sheet name="P Device" sheetId="6" state="visible" r:id="rId6"/>
    <sheet name="Supplier Stock" sheetId="7" state="visible" r:id="rId7"/>
  </sheets>
  <definedNames>
    <definedName name="_xlnm._FilterDatabase" localSheetId="0" hidden="1">'battery'!$A$7:$S$9</definedName>
    <definedName name="_xlnm._FilterDatabase" localSheetId="1" hidden="1">'main'!$A$7:$S$9</definedName>
    <definedName name="_xlnm._FilterDatabase" localSheetId="2" hidden="1">'control'!$A$7:$S$8</definedName>
    <definedName name="_xlnm._FilterDatabase" localSheetId="3" hidden="1">'All Aggregated'!$A$1:$R$6</definedName>
    <definedName name="_xlnm._FilterDatabase" localSheetId="4" hidden="1">'Mutual Components'!$A$1:$R$2</definedName>
    <definedName name="_xlnm._FilterDatabase" localSheetId="5" hidden="1">'P Device'!$A$11:$R$16</definedName>
    <definedName name="_xlnm._FilterDatabase" localSheetId="6" hidden="1">'Supplier Stock'!$A$1:$J$7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164" fontId="1" fillId="3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9" customWidth="1" min="15" max="15"/>
    <col width="27" customWidth="1" min="16" max="16"/>
    <col width="24" customWidth="1" min="17" max="17"/>
    <col width="25" customWidth="1" min="18" max="18"/>
    <col width="12" customWidth="1" min="19" max="19"/>
  </cols>
  <sheetData>
    <row r="1">
      <c r="A1" t="inlineStr">
        <is>
          <t>Project:</t>
        </is>
      </c>
      <c r="B1" t="inlineStr">
        <is>
          <t>Device</t>
        </is>
      </c>
    </row>
    <row r="2">
      <c r="A2" t="inlineStr">
        <is>
          <t>Board Name:</t>
        </is>
      </c>
      <c r="B2" t="inlineStr">
        <is>
          <t>battery</t>
        </is>
      </c>
    </row>
    <row r="3">
      <c r="A3" t="inlineStr">
        <is>
          <t>Source BOM File(s):</t>
        </is>
      </c>
      <c r="B3" t="inlineStr">
        <is>
          <t>combined.xlsx</t>
        </is>
      </c>
    </row>
    <row r="4">
      <c r="A4" t="inlineStr">
        <is>
          <t>Production Quantity:</t>
        </is>
      </c>
      <c r="B4" t="n">
        <v>1</v>
      </c>
    </row>
    <row r="5">
      <c r="A5" t="inlineStr">
        <is>
          <t>Price Tier Pool:</t>
        </is>
      </c>
      <c r="B5" t="inlineStr">
        <is>
          <t>All boards in this project using the same MPN</t>
        </is>
      </c>
    </row>
    <row r="6"/>
    <row r="7">
      <c r="A7" s="1" t="inlineStr">
        <is>
          <t>Board Name</t>
        </is>
      </c>
      <c r="B7" s="1" t="inlineStr">
        <is>
          <t>Description</t>
        </is>
      </c>
      <c r="C7" s="1" t="inlineStr">
        <is>
          <t>Designator</t>
        </is>
      </c>
      <c r="D7" s="1" t="inlineStr">
        <is>
          <t>Quantity (Per Board / Total)</t>
        </is>
      </c>
      <c r="E7" s="1" t="inlineStr">
        <is>
          <t>Value</t>
        </is>
      </c>
      <c r="F7" s="1" t="inlineStr">
        <is>
          <t>Manufacturer</t>
        </is>
      </c>
      <c r="G7" s="1" t="inlineStr">
        <is>
          <t>MPN</t>
        </is>
      </c>
      <c r="H7" s="1" t="inlineStr">
        <is>
          <t>Design Item ID</t>
        </is>
      </c>
      <c r="I7" s="1" t="inlineStr">
        <is>
          <t>JLCPCB Part Number</t>
        </is>
      </c>
      <c r="J7" s="1" t="inlineStr">
        <is>
          <t>DigiKey Part Number</t>
        </is>
      </c>
      <c r="K7" s="1" t="inlineStr">
        <is>
          <t>JLCPCB Stock</t>
        </is>
      </c>
      <c r="L7" s="1" t="inlineStr">
        <is>
          <t>DigiKey Stock</t>
        </is>
      </c>
      <c r="M7" s="1" t="inlineStr">
        <is>
          <t>JLCPCB Unit Price</t>
        </is>
      </c>
      <c r="N7" s="1" t="inlineStr">
        <is>
          <t>DigiKey Unit Price</t>
        </is>
      </c>
      <c r="O7" s="1" t="inlineStr">
        <is>
          <t>Board Required Quantity</t>
        </is>
      </c>
      <c r="P7" s="1" t="inlineStr">
        <is>
          <t>Pricing Pool Quantity</t>
        </is>
      </c>
      <c r="Q7" s="1" t="inlineStr">
        <is>
          <t>JLCPCB Total Price</t>
        </is>
      </c>
      <c r="R7" s="1" t="inlineStr">
        <is>
          <t>DigiKey Total Price</t>
        </is>
      </c>
      <c r="S7" s="1" t="inlineStr">
        <is>
          <t>Status</t>
        </is>
      </c>
    </row>
    <row r="8">
      <c r="A8" t="inlineStr">
        <is>
          <t>battery</t>
        </is>
      </c>
      <c r="B8" t="inlineStr"/>
      <c r="C8" t="inlineStr">
        <is>
          <t>A1</t>
        </is>
      </c>
      <c r="D8" t="inlineStr">
        <is>
          <t>1 / 1</t>
        </is>
      </c>
      <c r="E8" t="inlineStr"/>
      <c r="F8" t="inlineStr"/>
      <c r="G8" t="inlineStr">
        <is>
          <t>A</t>
        </is>
      </c>
      <c r="H8" t="inlineStr"/>
      <c r="I8" t="inlineStr">
        <is>
          <t>C-A</t>
        </is>
      </c>
      <c r="J8" t="inlineStr">
        <is>
          <t>DK-A</t>
        </is>
      </c>
      <c r="K8" t="n">
        <v>100</v>
      </c>
      <c r="L8" t="n">
        <v>100</v>
      </c>
      <c r="M8" s="2" t="n">
        <v>5</v>
      </c>
      <c r="N8" s="2" t="n">
        <v>5</v>
      </c>
      <c r="O8" t="n">
        <v>1</v>
      </c>
      <c r="P8" t="n">
        <v>1</v>
      </c>
      <c r="Q8" s="2" t="n">
        <v>5</v>
      </c>
      <c r="R8" s="2" t="n">
        <v>5</v>
      </c>
      <c r="S8" s="3" t="inlineStr"/>
    </row>
    <row r="9">
      <c r="A9" t="inlineStr">
        <is>
          <t>battery</t>
        </is>
      </c>
      <c r="B9" t="inlineStr"/>
      <c r="C9" t="inlineStr">
        <is>
          <t>B1</t>
        </is>
      </c>
      <c r="D9" t="inlineStr">
        <is>
          <t>4 / 4</t>
        </is>
      </c>
      <c r="E9" t="inlineStr"/>
      <c r="F9" t="inlineStr"/>
      <c r="G9" t="inlineStr">
        <is>
          <t>B</t>
        </is>
      </c>
      <c r="H9" t="inlineStr"/>
      <c r="I9" t="inlineStr">
        <is>
          <t>C-B</t>
        </is>
      </c>
      <c r="J9" t="inlineStr">
        <is>
          <t>DK-B</t>
        </is>
      </c>
      <c r="K9" t="n">
        <v>100</v>
      </c>
      <c r="L9" t="n">
        <v>100</v>
      </c>
      <c r="M9" s="2" t="n">
        <v>3.5</v>
      </c>
      <c r="N9" s="2" t="n">
        <v>3.5</v>
      </c>
      <c r="O9" t="n">
        <v>4</v>
      </c>
      <c r="P9" t="n">
        <v>10</v>
      </c>
      <c r="Q9" s="2" t="n">
        <v>14</v>
      </c>
      <c r="R9" s="2" t="n">
        <v>14</v>
      </c>
      <c r="S9" s="3" t="inlineStr"/>
    </row>
    <row r="10"/>
    <row r="11">
      <c r="P11" s="4" t="inlineStr">
        <is>
          <t>Board Total</t>
        </is>
      </c>
      <c r="Q11" s="5">
        <f>SUM(Q8:Q9)</f>
        <v/>
      </c>
      <c r="R11" s="5">
        <f>SUM(R8:R9)</f>
        <v/>
      </c>
    </row>
    <row r="12">
      <c r="P12" s="4" t="inlineStr">
        <is>
          <t>Cost Per Board Set</t>
        </is>
      </c>
      <c r="Q12" s="5">
        <f>Q11/1</f>
        <v/>
      </c>
      <c r="R12" s="5">
        <f>R11/1</f>
        <v/>
      </c>
    </row>
  </sheetData>
  <autoFilter ref="A7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9" customWidth="1" min="15" max="15"/>
    <col width="27" customWidth="1" min="16" max="16"/>
    <col width="24" customWidth="1" min="17" max="17"/>
    <col width="25" customWidth="1" min="18" max="18"/>
    <col width="12" customWidth="1" min="19" max="19"/>
  </cols>
  <sheetData>
    <row r="1">
      <c r="A1" t="inlineStr">
        <is>
          <t>Project:</t>
        </is>
      </c>
      <c r="B1" t="inlineStr">
        <is>
          <t>Device</t>
        </is>
      </c>
    </row>
    <row r="2">
      <c r="A2" t="inlineStr">
        <is>
          <t>Board Name:</t>
        </is>
      </c>
      <c r="B2" t="inlineStr">
        <is>
          <t>main</t>
        </is>
      </c>
    </row>
    <row r="3">
      <c r="A3" t="inlineStr">
        <is>
          <t>Source BOM File(s):</t>
        </is>
      </c>
      <c r="B3" t="inlineStr">
        <is>
          <t>combined.xlsx</t>
        </is>
      </c>
    </row>
    <row r="4">
      <c r="A4" t="inlineStr">
        <is>
          <t>Production Quantity:</t>
        </is>
      </c>
      <c r="B4" t="n">
        <v>1</v>
      </c>
    </row>
    <row r="5">
      <c r="A5" t="inlineStr">
        <is>
          <t>Price Tier Pool:</t>
        </is>
      </c>
      <c r="B5" t="inlineStr">
        <is>
          <t>All boards in this project using the same MPN</t>
        </is>
      </c>
    </row>
    <row r="6"/>
    <row r="7">
      <c r="A7" s="1" t="inlineStr">
        <is>
          <t>Board Name</t>
        </is>
      </c>
      <c r="B7" s="1" t="inlineStr">
        <is>
          <t>Description</t>
        </is>
      </c>
      <c r="C7" s="1" t="inlineStr">
        <is>
          <t>Designator</t>
        </is>
      </c>
      <c r="D7" s="1" t="inlineStr">
        <is>
          <t>Quantity (Per Board / Total)</t>
        </is>
      </c>
      <c r="E7" s="1" t="inlineStr">
        <is>
          <t>Value</t>
        </is>
      </c>
      <c r="F7" s="1" t="inlineStr">
        <is>
          <t>Manufacturer</t>
        </is>
      </c>
      <c r="G7" s="1" t="inlineStr">
        <is>
          <t>MPN</t>
        </is>
      </c>
      <c r="H7" s="1" t="inlineStr">
        <is>
          <t>Design Item ID</t>
        </is>
      </c>
      <c r="I7" s="1" t="inlineStr">
        <is>
          <t>JLCPCB Part Number</t>
        </is>
      </c>
      <c r="J7" s="1" t="inlineStr">
        <is>
          <t>DigiKey Part Number</t>
        </is>
      </c>
      <c r="K7" s="1" t="inlineStr">
        <is>
          <t>JLCPCB Stock</t>
        </is>
      </c>
      <c r="L7" s="1" t="inlineStr">
        <is>
          <t>DigiKey Stock</t>
        </is>
      </c>
      <c r="M7" s="1" t="inlineStr">
        <is>
          <t>JLCPCB Unit Price</t>
        </is>
      </c>
      <c r="N7" s="1" t="inlineStr">
        <is>
          <t>DigiKey Unit Price</t>
        </is>
      </c>
      <c r="O7" s="1" t="inlineStr">
        <is>
          <t>Board Required Quantity</t>
        </is>
      </c>
      <c r="P7" s="1" t="inlineStr">
        <is>
          <t>Pricing Pool Quantity</t>
        </is>
      </c>
      <c r="Q7" s="1" t="inlineStr">
        <is>
          <t>JLCPCB Total Price</t>
        </is>
      </c>
      <c r="R7" s="1" t="inlineStr">
        <is>
          <t>DigiKey Total Price</t>
        </is>
      </c>
      <c r="S7" s="1" t="inlineStr">
        <is>
          <t>Status</t>
        </is>
      </c>
    </row>
    <row r="8">
      <c r="A8" t="inlineStr">
        <is>
          <t>main</t>
        </is>
      </c>
      <c r="B8" t="inlineStr"/>
      <c r="C8" t="inlineStr">
        <is>
          <t>B2</t>
        </is>
      </c>
      <c r="D8" t="inlineStr">
        <is>
          <t>3 / 3</t>
        </is>
      </c>
      <c r="E8" t="inlineStr"/>
      <c r="F8" t="inlineStr"/>
      <c r="G8" t="inlineStr">
        <is>
          <t>B</t>
        </is>
      </c>
      <c r="H8" t="inlineStr"/>
      <c r="I8" t="inlineStr">
        <is>
          <t>C-B</t>
        </is>
      </c>
      <c r="J8" t="inlineStr">
        <is>
          <t>DK-B</t>
        </is>
      </c>
      <c r="K8" t="n">
        <v>100</v>
      </c>
      <c r="L8" t="n">
        <v>100</v>
      </c>
      <c r="M8" s="2" t="n">
        <v>3.5</v>
      </c>
      <c r="N8" s="2" t="n">
        <v>3.5</v>
      </c>
      <c r="O8" t="n">
        <v>3</v>
      </c>
      <c r="P8" t="n">
        <v>10</v>
      </c>
      <c r="Q8" s="2" t="n">
        <v>10.5</v>
      </c>
      <c r="R8" s="2" t="n">
        <v>10.5</v>
      </c>
      <c r="S8" s="3" t="inlineStr"/>
    </row>
    <row r="9">
      <c r="A9" t="inlineStr">
        <is>
          <t>main</t>
        </is>
      </c>
      <c r="B9" t="inlineStr"/>
      <c r="C9" t="inlineStr">
        <is>
          <t>G1</t>
        </is>
      </c>
      <c r="D9" t="inlineStr">
        <is>
          <t>1 / 1</t>
        </is>
      </c>
      <c r="E9" t="inlineStr"/>
      <c r="F9" t="inlineStr"/>
      <c r="G9" t="inlineStr">
        <is>
          <t>G</t>
        </is>
      </c>
      <c r="H9" t="inlineStr"/>
      <c r="I9" t="inlineStr">
        <is>
          <t>C-G</t>
        </is>
      </c>
      <c r="J9" t="inlineStr">
        <is>
          <t>DK-G</t>
        </is>
      </c>
      <c r="K9" t="n">
        <v>100</v>
      </c>
      <c r="L9" t="n">
        <v>100</v>
      </c>
      <c r="M9" s="2" t="n">
        <v>5</v>
      </c>
      <c r="N9" s="2" t="n">
        <v>5</v>
      </c>
      <c r="O9" t="n">
        <v>1</v>
      </c>
      <c r="P9" t="n">
        <v>1</v>
      </c>
      <c r="Q9" s="2" t="n">
        <v>5</v>
      </c>
      <c r="R9" s="2" t="n">
        <v>5</v>
      </c>
      <c r="S9" s="3" t="inlineStr"/>
    </row>
    <row r="10"/>
    <row r="11">
      <c r="P11" s="4" t="inlineStr">
        <is>
          <t>Board Total</t>
        </is>
      </c>
      <c r="Q11" s="5">
        <f>SUM(Q8:Q9)</f>
        <v/>
      </c>
      <c r="R11" s="5">
        <f>SUM(R8:R9)</f>
        <v/>
      </c>
    </row>
    <row r="12">
      <c r="P12" s="4" t="inlineStr">
        <is>
          <t>Cost Per Board Set</t>
        </is>
      </c>
      <c r="Q12" s="5">
        <f>Q11/1</f>
        <v/>
      </c>
      <c r="R12" s="5">
        <f>R11/1</f>
        <v/>
      </c>
    </row>
  </sheetData>
  <autoFilter ref="A7:S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9" customWidth="1" min="15" max="15"/>
    <col width="27" customWidth="1" min="16" max="16"/>
    <col width="24" customWidth="1" min="17" max="17"/>
    <col width="25" customWidth="1" min="18" max="18"/>
    <col width="12" customWidth="1" min="19" max="19"/>
  </cols>
  <sheetData>
    <row r="1">
      <c r="A1" t="inlineStr">
        <is>
          <t>Project:</t>
        </is>
      </c>
      <c r="B1" t="inlineStr">
        <is>
          <t>Device</t>
        </is>
      </c>
    </row>
    <row r="2">
      <c r="A2" t="inlineStr">
        <is>
          <t>Board Name:</t>
        </is>
      </c>
      <c r="B2" t="inlineStr">
        <is>
          <t>control</t>
        </is>
      </c>
    </row>
    <row r="3">
      <c r="A3" t="inlineStr">
        <is>
          <t>Source BOM File(s):</t>
        </is>
      </c>
      <c r="B3" t="inlineStr">
        <is>
          <t>combined.xlsx</t>
        </is>
      </c>
    </row>
    <row r="4">
      <c r="A4" t="inlineStr">
        <is>
          <t>Production Quantity:</t>
        </is>
      </c>
      <c r="B4" t="n">
        <v>1</v>
      </c>
    </row>
    <row r="5">
      <c r="A5" t="inlineStr">
        <is>
          <t>Price Tier Pool:</t>
        </is>
      </c>
      <c r="B5" t="inlineStr">
        <is>
          <t>All boards in this project using the same MPN</t>
        </is>
      </c>
    </row>
    <row r="6"/>
    <row r="7">
      <c r="A7" s="1" t="inlineStr">
        <is>
          <t>Board Name</t>
        </is>
      </c>
      <c r="B7" s="1" t="inlineStr">
        <is>
          <t>Description</t>
        </is>
      </c>
      <c r="C7" s="1" t="inlineStr">
        <is>
          <t>Designator</t>
        </is>
      </c>
      <c r="D7" s="1" t="inlineStr">
        <is>
          <t>Quantity (Per Board / Total)</t>
        </is>
      </c>
      <c r="E7" s="1" t="inlineStr">
        <is>
          <t>Value</t>
        </is>
      </c>
      <c r="F7" s="1" t="inlineStr">
        <is>
          <t>Manufacturer</t>
        </is>
      </c>
      <c r="G7" s="1" t="inlineStr">
        <is>
          <t>MPN</t>
        </is>
      </c>
      <c r="H7" s="1" t="inlineStr">
        <is>
          <t>Design Item ID</t>
        </is>
      </c>
      <c r="I7" s="1" t="inlineStr">
        <is>
          <t>JLCPCB Part Number</t>
        </is>
      </c>
      <c r="J7" s="1" t="inlineStr">
        <is>
          <t>DigiKey Part Number</t>
        </is>
      </c>
      <c r="K7" s="1" t="inlineStr">
        <is>
          <t>JLCPCB Stock</t>
        </is>
      </c>
      <c r="L7" s="1" t="inlineStr">
        <is>
          <t>DigiKey Stock</t>
        </is>
      </c>
      <c r="M7" s="1" t="inlineStr">
        <is>
          <t>JLCPCB Unit Price</t>
        </is>
      </c>
      <c r="N7" s="1" t="inlineStr">
        <is>
          <t>DigiKey Unit Price</t>
        </is>
      </c>
      <c r="O7" s="1" t="inlineStr">
        <is>
          <t>Board Required Quantity</t>
        </is>
      </c>
      <c r="P7" s="1" t="inlineStr">
        <is>
          <t>Pricing Pool Quantity</t>
        </is>
      </c>
      <c r="Q7" s="1" t="inlineStr">
        <is>
          <t>JLCPCB Total Price</t>
        </is>
      </c>
      <c r="R7" s="1" t="inlineStr">
        <is>
          <t>DigiKey Total Price</t>
        </is>
      </c>
      <c r="S7" s="1" t="inlineStr">
        <is>
          <t>Status</t>
        </is>
      </c>
    </row>
    <row r="8">
      <c r="A8" t="inlineStr">
        <is>
          <t>control</t>
        </is>
      </c>
      <c r="B8" t="inlineStr"/>
      <c r="C8" t="inlineStr">
        <is>
          <t>B3</t>
        </is>
      </c>
      <c r="D8" t="inlineStr">
        <is>
          <t>3 / 3</t>
        </is>
      </c>
      <c r="E8" t="inlineStr"/>
      <c r="F8" t="inlineStr"/>
      <c r="G8" t="inlineStr">
        <is>
          <t>B</t>
        </is>
      </c>
      <c r="H8" t="inlineStr"/>
      <c r="I8" t="inlineStr">
        <is>
          <t>C-B</t>
        </is>
      </c>
      <c r="J8" t="inlineStr">
        <is>
          <t>DK-B</t>
        </is>
      </c>
      <c r="K8" t="n">
        <v>100</v>
      </c>
      <c r="L8" t="n">
        <v>100</v>
      </c>
      <c r="M8" s="2" t="n">
        <v>3.5</v>
      </c>
      <c r="N8" s="2" t="n">
        <v>3.5</v>
      </c>
      <c r="O8" t="n">
        <v>3</v>
      </c>
      <c r="P8" t="n">
        <v>10</v>
      </c>
      <c r="Q8" s="2" t="n">
        <v>10.5</v>
      </c>
      <c r="R8" s="2" t="n">
        <v>10.5</v>
      </c>
      <c r="S8" s="3" t="inlineStr"/>
    </row>
    <row r="9"/>
    <row r="10">
      <c r="P10" s="4" t="inlineStr">
        <is>
          <t>Board Total</t>
        </is>
      </c>
      <c r="Q10" s="5">
        <f>SUM(Q8:Q8)</f>
        <v/>
      </c>
      <c r="R10" s="5">
        <f>SUM(R8:R8)</f>
        <v/>
      </c>
    </row>
    <row r="11">
      <c r="P11" s="4" t="inlineStr">
        <is>
          <t>Cost Per Board Set</t>
        </is>
      </c>
      <c r="Q11" s="5">
        <f>Q10/1</f>
        <v/>
      </c>
      <c r="R11" s="5">
        <f>R10/1</f>
        <v/>
      </c>
    </row>
  </sheetData>
  <autoFilter ref="A7:S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4" customWidth="1" min="15" max="15"/>
    <col width="24" customWidth="1" min="16" max="16"/>
    <col width="25" customWidth="1" min="17" max="17"/>
    <col width="12" customWidth="1" min="18" max="18"/>
  </cols>
  <sheetData>
    <row r="1">
      <c r="A1" s="1" t="inlineStr">
        <is>
          <t>Board Name</t>
        </is>
      </c>
      <c r="B1" s="1" t="inlineStr">
        <is>
          <t>Description</t>
        </is>
      </c>
      <c r="C1" s="1" t="inlineStr">
        <is>
          <t>Designator</t>
        </is>
      </c>
      <c r="D1" s="1" t="inlineStr">
        <is>
          <t>Quantity (Per Board / Total)</t>
        </is>
      </c>
      <c r="E1" s="1" t="inlineStr">
        <is>
          <t>Value</t>
        </is>
      </c>
      <c r="F1" s="1" t="inlineStr">
        <is>
          <t>Manufacturer</t>
        </is>
      </c>
      <c r="G1" s="1" t="inlineStr">
        <is>
          <t>MPN</t>
        </is>
      </c>
      <c r="H1" s="1" t="inlineStr">
        <is>
          <t>Design Item ID</t>
        </is>
      </c>
      <c r="I1" s="1" t="inlineStr">
        <is>
          <t>JLCPCB Part Number</t>
        </is>
      </c>
      <c r="J1" s="1" t="inlineStr">
        <is>
          <t>DigiKey Part Number</t>
        </is>
      </c>
      <c r="K1" s="1" t="inlineStr">
        <is>
          <t>JLCPCB Stock</t>
        </is>
      </c>
      <c r="L1" s="1" t="inlineStr">
        <is>
          <t>DigiKey Stock</t>
        </is>
      </c>
      <c r="M1" s="1" t="inlineStr">
        <is>
          <t>JLCPCB Unit Price</t>
        </is>
      </c>
      <c r="N1" s="1" t="inlineStr">
        <is>
          <t>DigiKey Unit Price</t>
        </is>
      </c>
      <c r="O1" s="1" t="inlineStr">
        <is>
          <t>Pricing Quantity</t>
        </is>
      </c>
      <c r="P1" s="1" t="inlineStr">
        <is>
          <t>JLCPCB Total Price</t>
        </is>
      </c>
      <c r="Q1" s="1" t="inlineStr">
        <is>
          <t>DigiKey Total Price</t>
        </is>
      </c>
      <c r="R1" s="1" t="inlineStr">
        <is>
          <t>Status</t>
        </is>
      </c>
    </row>
    <row r="2">
      <c r="A2" s="6" t="inlineStr">
        <is>
          <t>battery</t>
        </is>
      </c>
      <c r="B2" t="inlineStr"/>
      <c r="C2" t="inlineStr">
        <is>
          <t>A1</t>
        </is>
      </c>
      <c r="D2" s="6" t="inlineStr">
        <is>
          <t>1 / 1</t>
        </is>
      </c>
      <c r="E2" t="inlineStr"/>
      <c r="F2" t="inlineStr"/>
      <c r="G2" t="inlineStr">
        <is>
          <t>A</t>
        </is>
      </c>
      <c r="H2" t="inlineStr"/>
      <c r="I2" t="inlineStr">
        <is>
          <t>C-A</t>
        </is>
      </c>
      <c r="J2" t="inlineStr">
        <is>
          <t>DK-A</t>
        </is>
      </c>
      <c r="K2" t="n">
        <v>100</v>
      </c>
      <c r="L2" t="n">
        <v>100</v>
      </c>
      <c r="M2" s="2" t="n">
        <v>5</v>
      </c>
      <c r="N2" s="2" t="n">
        <v>5</v>
      </c>
      <c r="O2" t="n">
        <v>1</v>
      </c>
      <c r="P2" s="2" t="n">
        <v>5</v>
      </c>
      <c r="Q2" s="2" t="n">
        <v>5</v>
      </c>
      <c r="R2" s="3" t="inlineStr"/>
    </row>
    <row r="3">
      <c r="A3" s="6" t="inlineStr">
        <is>
          <t>battery</t>
        </is>
      </c>
      <c r="B3" t="inlineStr"/>
      <c r="C3" t="inlineStr">
        <is>
          <t>B1</t>
        </is>
      </c>
      <c r="D3" s="6" t="inlineStr">
        <is>
          <t>4 / 4</t>
        </is>
      </c>
      <c r="E3" t="inlineStr"/>
      <c r="F3" t="inlineStr"/>
      <c r="G3" t="inlineStr">
        <is>
          <t>B</t>
        </is>
      </c>
      <c r="H3" t="inlineStr"/>
      <c r="I3" t="inlineStr">
        <is>
          <t>C-B</t>
        </is>
      </c>
      <c r="J3" t="inlineStr">
        <is>
          <t>DK-B</t>
        </is>
      </c>
      <c r="K3" t="n">
        <v>100</v>
      </c>
      <c r="L3" t="n">
        <v>100</v>
      </c>
      <c r="M3" s="2" t="n">
        <v>3.5</v>
      </c>
      <c r="N3" s="2" t="n">
        <v>3.5</v>
      </c>
      <c r="O3" t="n">
        <v>10</v>
      </c>
      <c r="P3" s="2" t="n">
        <v>35</v>
      </c>
      <c r="Q3" s="2" t="n">
        <v>35</v>
      </c>
      <c r="R3" s="3" t="inlineStr"/>
    </row>
    <row r="4">
      <c r="A4" s="6" t="inlineStr">
        <is>
          <t>main</t>
        </is>
      </c>
      <c r="B4" t="inlineStr"/>
      <c r="C4" t="inlineStr">
        <is>
          <t>B2</t>
        </is>
      </c>
      <c r="D4" s="6" t="inlineStr">
        <is>
          <t>3 / 3</t>
        </is>
      </c>
      <c r="E4" t="inlineStr"/>
      <c r="F4" t="inlineStr"/>
      <c r="G4" t="inlineStr">
        <is>
          <t>B</t>
        </is>
      </c>
      <c r="H4" t="inlineStr"/>
      <c r="I4" t="inlineStr">
        <is>
          <t>C-B</t>
        </is>
      </c>
      <c r="J4" t="inlineStr">
        <is>
          <t>DK-B</t>
        </is>
      </c>
      <c r="K4" t="n">
        <v>100</v>
      </c>
      <c r="L4" t="n">
        <v>100</v>
      </c>
      <c r="M4" s="2" t="n">
        <v>3.5</v>
      </c>
      <c r="N4" s="2" t="n">
        <v>3.5</v>
      </c>
      <c r="O4" t="n">
        <v>10</v>
      </c>
      <c r="R4" s="3" t="inlineStr"/>
    </row>
    <row r="5">
      <c r="A5" s="6" t="inlineStr">
        <is>
          <t>control</t>
        </is>
      </c>
      <c r="B5" t="inlineStr"/>
      <c r="C5" t="inlineStr">
        <is>
          <t>B3</t>
        </is>
      </c>
      <c r="D5" s="6" t="inlineStr">
        <is>
          <t>3 / 3</t>
        </is>
      </c>
      <c r="E5" t="inlineStr"/>
      <c r="F5" t="inlineStr"/>
      <c r="G5" t="inlineStr">
        <is>
          <t>B</t>
        </is>
      </c>
      <c r="H5" t="inlineStr"/>
      <c r="I5" t="inlineStr">
        <is>
          <t>C-B</t>
        </is>
      </c>
      <c r="J5" t="inlineStr">
        <is>
          <t>DK-B</t>
        </is>
      </c>
      <c r="K5" t="n">
        <v>100</v>
      </c>
      <c r="L5" t="n">
        <v>100</v>
      </c>
      <c r="M5" s="2" t="n">
        <v>3.5</v>
      </c>
      <c r="N5" s="2" t="n">
        <v>3.5</v>
      </c>
      <c r="O5" t="n">
        <v>10</v>
      </c>
      <c r="R5" s="3" t="inlineStr"/>
    </row>
    <row r="6">
      <c r="A6" s="6" t="inlineStr">
        <is>
          <t>main</t>
        </is>
      </c>
      <c r="B6" t="inlineStr"/>
      <c r="C6" t="inlineStr">
        <is>
          <t>G1</t>
        </is>
      </c>
      <c r="D6" s="6" t="inlineStr">
        <is>
          <t>1 / 1</t>
        </is>
      </c>
      <c r="E6" t="inlineStr"/>
      <c r="F6" t="inlineStr"/>
      <c r="G6" t="inlineStr">
        <is>
          <t>G</t>
        </is>
      </c>
      <c r="H6" t="inlineStr"/>
      <c r="I6" t="inlineStr">
        <is>
          <t>C-G</t>
        </is>
      </c>
      <c r="J6" t="inlineStr">
        <is>
          <t>DK-G</t>
        </is>
      </c>
      <c r="K6" t="n">
        <v>100</v>
      </c>
      <c r="L6" t="n">
        <v>100</v>
      </c>
      <c r="M6" s="2" t="n">
        <v>5</v>
      </c>
      <c r="N6" s="2" t="n">
        <v>5</v>
      </c>
      <c r="O6" t="n">
        <v>1</v>
      </c>
      <c r="P6" s="2" t="n">
        <v>5</v>
      </c>
      <c r="Q6" s="2" t="n">
        <v>5</v>
      </c>
      <c r="R6" s="3" t="inlineStr"/>
    </row>
    <row r="7"/>
    <row r="8">
      <c r="O8" s="4" t="inlineStr">
        <is>
          <t>Workspace Total</t>
        </is>
      </c>
      <c r="P8" s="5">
        <f>SUM(P2:P6)</f>
        <v/>
      </c>
      <c r="Q8" s="5">
        <f>SUM(Q2:Q6)</f>
        <v/>
      </c>
    </row>
    <row r="9">
      <c r="O9" s="4" t="inlineStr">
        <is>
          <t>Cost Per Board Set</t>
        </is>
      </c>
      <c r="P9" s="5">
        <f>P8/1</f>
        <v/>
      </c>
      <c r="Q9" s="5">
        <f>Q8/1</f>
        <v/>
      </c>
    </row>
  </sheetData>
  <autoFilter ref="A1:R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25" customWidth="1" min="3" max="3"/>
    <col width="18" customWidth="1" min="4" max="4"/>
    <col width="11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9" customWidth="1" min="15" max="15"/>
    <col width="24" customWidth="1" min="16" max="16"/>
    <col width="25" customWidth="1" min="17" max="17"/>
    <col width="12" customWidth="1" min="18" max="18"/>
  </cols>
  <sheetData>
    <row r="1">
      <c r="A1" s="1" t="inlineStr">
        <is>
          <t>Board Names</t>
        </is>
      </c>
      <c r="B1" s="1" t="inlineStr">
        <is>
          <t>Description</t>
        </is>
      </c>
      <c r="C1" s="1" t="inlineStr">
        <is>
          <t>Designator</t>
        </is>
      </c>
      <c r="D1" s="1" t="inlineStr">
        <is>
          <t>Quantity (Per Board / Total)</t>
        </is>
      </c>
      <c r="E1" s="1" t="inlineStr">
        <is>
          <t>Value</t>
        </is>
      </c>
      <c r="F1" s="1" t="inlineStr">
        <is>
          <t>Manufacturer</t>
        </is>
      </c>
      <c r="G1" s="1" t="inlineStr">
        <is>
          <t>MPN</t>
        </is>
      </c>
      <c r="H1" s="1" t="inlineStr">
        <is>
          <t>Design Item ID</t>
        </is>
      </c>
      <c r="I1" s="1" t="inlineStr">
        <is>
          <t>JLCPCB Part Number</t>
        </is>
      </c>
      <c r="J1" s="1" t="inlineStr">
        <is>
          <t>DigiKey Part Number</t>
        </is>
      </c>
      <c r="K1" s="1" t="inlineStr">
        <is>
          <t>JLCPCB Stock</t>
        </is>
      </c>
      <c r="L1" s="1" t="inlineStr">
        <is>
          <t>DigiKey Stock</t>
        </is>
      </c>
      <c r="M1" s="1" t="inlineStr">
        <is>
          <t>JLCPCB Unit Price</t>
        </is>
      </c>
      <c r="N1" s="1" t="inlineStr">
        <is>
          <t>DigiKey Unit Price</t>
        </is>
      </c>
      <c r="O1" s="1" t="inlineStr">
        <is>
          <t>Pricing Quantity</t>
        </is>
      </c>
      <c r="P1" s="1" t="inlineStr">
        <is>
          <t>JLCPCB Total Price</t>
        </is>
      </c>
      <c r="Q1" s="1" t="inlineStr">
        <is>
          <t>DigiKey Total Price</t>
        </is>
      </c>
      <c r="R1" s="1" t="inlineStr">
        <is>
          <t>Status</t>
        </is>
      </c>
    </row>
    <row r="2">
      <c r="A2" s="6" t="inlineStr">
        <is>
          <t>battery
main
control</t>
        </is>
      </c>
      <c r="B2" t="inlineStr"/>
      <c r="C2" t="inlineStr">
        <is>
          <t>Mutual</t>
        </is>
      </c>
      <c r="D2" s="6" t="inlineStr">
        <is>
          <t>4 / 4
3 / 3
3 / 3</t>
        </is>
      </c>
      <c r="E2" t="inlineStr"/>
      <c r="F2" t="inlineStr"/>
      <c r="G2" t="inlineStr">
        <is>
          <t>B</t>
        </is>
      </c>
      <c r="H2" t="inlineStr"/>
      <c r="I2" t="inlineStr">
        <is>
          <t>C-B</t>
        </is>
      </c>
      <c r="J2" t="inlineStr">
        <is>
          <t>DK-B</t>
        </is>
      </c>
      <c r="K2" t="n">
        <v>100</v>
      </c>
      <c r="L2" t="n">
        <v>100</v>
      </c>
      <c r="M2" s="2" t="n">
        <v>3.5</v>
      </c>
      <c r="N2" s="2" t="n">
        <v>3.5</v>
      </c>
      <c r="O2" t="n">
        <v>10</v>
      </c>
      <c r="P2" s="2" t="n">
        <v>35</v>
      </c>
      <c r="Q2" s="2" t="n">
        <v>35</v>
      </c>
      <c r="R2" s="3" t="inlineStr"/>
    </row>
    <row r="3"/>
    <row r="4">
      <c r="O4" s="4" t="inlineStr">
        <is>
          <t>Mutual Components Total</t>
        </is>
      </c>
      <c r="P4" s="5">
        <f>SUM(P2:P2)</f>
        <v/>
      </c>
      <c r="Q4" s="5">
        <f>SUM(Q2:Q2)</f>
        <v/>
      </c>
    </row>
    <row r="5">
      <c r="O5" s="4" t="inlineStr">
        <is>
          <t>Cost Per Board Set</t>
        </is>
      </c>
      <c r="P5" s="5">
        <f>P4/1</f>
        <v/>
      </c>
      <c r="Q5" s="5">
        <f>Q4/1</f>
        <v/>
      </c>
    </row>
  </sheetData>
  <autoFilter ref="A1:R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5" customWidth="1" min="3" max="3"/>
    <col width="18" customWidth="1" min="4" max="4"/>
    <col width="24" customWidth="1" min="5" max="5"/>
    <col width="18" customWidth="1" min="6" max="6"/>
    <col width="9" customWidth="1" min="7" max="7"/>
    <col width="20" customWidth="1" min="8" max="8"/>
    <col width="24" customWidth="1" min="9" max="9"/>
    <col width="25" customWidth="1" min="10" max="10"/>
    <col width="18" customWidth="1" min="11" max="11"/>
    <col width="19" customWidth="1" min="12" max="12"/>
    <col width="23" customWidth="1" min="13" max="13"/>
    <col width="24" customWidth="1" min="14" max="14"/>
    <col width="24" customWidth="1" min="15" max="15"/>
    <col width="24" customWidth="1" min="16" max="16"/>
    <col width="25" customWidth="1" min="17" max="17"/>
    <col width="12" customWidth="1" min="18" max="18"/>
  </cols>
  <sheetData>
    <row r="1">
      <c r="A1" s="7" t="inlineStr">
        <is>
          <t>Project Name:</t>
        </is>
      </c>
      <c r="B1" t="inlineStr">
        <is>
          <t>Device</t>
        </is>
      </c>
    </row>
    <row r="2">
      <c r="A2" s="7" t="inlineStr">
        <is>
          <t>Number of Boards:</t>
        </is>
      </c>
      <c r="B2" t="n">
        <v>3</v>
      </c>
    </row>
    <row r="3">
      <c r="A3" s="7" t="inlineStr">
        <is>
          <t>Number of BOM Files:</t>
        </is>
      </c>
      <c r="B3" t="n">
        <v>1</v>
      </c>
    </row>
    <row r="4">
      <c r="A4" s="7" t="inlineStr">
        <is>
          <t>Unique Components in Project:</t>
        </is>
      </c>
      <c r="B4" t="n">
        <v>3</v>
      </c>
    </row>
    <row r="5">
      <c r="A5" s="7" t="inlineStr">
        <is>
          <t>Mutual Workspace Components in Project:</t>
        </is>
      </c>
      <c r="B5" t="n">
        <v>1</v>
      </c>
    </row>
    <row r="6"/>
    <row r="7">
      <c r="A7" s="8" t="inlineStr">
        <is>
          <t>Project Cost Summary</t>
        </is>
      </c>
    </row>
    <row r="8">
      <c r="A8" s="1" t="inlineStr">
        <is>
          <t>Build Qty</t>
        </is>
      </c>
      <c r="B8" s="1" t="inlineStr">
        <is>
          <t>JLCPCB Cost</t>
        </is>
      </c>
      <c r="C8" s="1" t="inlineStr">
        <is>
          <t>Remaining DigiKey Cost</t>
        </is>
      </c>
      <c r="D8" s="1" t="inlineStr">
        <is>
          <t>Combined Total</t>
        </is>
      </c>
      <c r="E8" s="1" t="inlineStr">
        <is>
          <t>DigiKey-Only Total</t>
        </is>
      </c>
    </row>
    <row r="9">
      <c r="A9" t="inlineStr">
        <is>
          <t>1x</t>
        </is>
      </c>
      <c r="B9" s="2" t="n">
        <v>45</v>
      </c>
      <c r="C9" s="2" t="n">
        <v>0</v>
      </c>
      <c r="D9" s="2" t="n">
        <v>45</v>
      </c>
      <c r="E9" s="2" t="n">
        <v>45</v>
      </c>
    </row>
    <row r="10"/>
    <row r="11">
      <c r="A11" s="1" t="inlineStr">
        <is>
          <t>Board Name</t>
        </is>
      </c>
      <c r="B11" s="1" t="inlineStr">
        <is>
          <t>Description</t>
        </is>
      </c>
      <c r="C11" s="1" t="inlineStr">
        <is>
          <t>Designator</t>
        </is>
      </c>
      <c r="D11" s="1" t="inlineStr">
        <is>
          <t>Quantity (Per Board / Total)</t>
        </is>
      </c>
      <c r="E11" s="1" t="inlineStr">
        <is>
          <t>Value</t>
        </is>
      </c>
      <c r="F11" s="1" t="inlineStr">
        <is>
          <t>Manufacturer</t>
        </is>
      </c>
      <c r="G11" s="1" t="inlineStr">
        <is>
          <t>MPN</t>
        </is>
      </c>
      <c r="H11" s="1" t="inlineStr">
        <is>
          <t>Design Item ID</t>
        </is>
      </c>
      <c r="I11" s="1" t="inlineStr">
        <is>
          <t>JLCPCB Part Number</t>
        </is>
      </c>
      <c r="J11" s="1" t="inlineStr">
        <is>
          <t>DigiKey Part Number</t>
        </is>
      </c>
      <c r="K11" s="1" t="inlineStr">
        <is>
          <t>JLCPCB Stock</t>
        </is>
      </c>
      <c r="L11" s="1" t="inlineStr">
        <is>
          <t>DigiKey Stock</t>
        </is>
      </c>
      <c r="M11" s="1" t="inlineStr">
        <is>
          <t>JLCPCB Unit Price</t>
        </is>
      </c>
      <c r="N11" s="1" t="inlineStr">
        <is>
          <t>DigiKey Unit Price</t>
        </is>
      </c>
      <c r="O11" s="1" t="inlineStr">
        <is>
          <t>Pricing Quantity</t>
        </is>
      </c>
      <c r="P11" s="1" t="inlineStr">
        <is>
          <t>JLCPCB Total Price</t>
        </is>
      </c>
      <c r="Q11" s="1" t="inlineStr">
        <is>
          <t>DigiKey Total Price</t>
        </is>
      </c>
      <c r="R11" s="1" t="inlineStr">
        <is>
          <t>Status</t>
        </is>
      </c>
    </row>
    <row r="12">
      <c r="A12" s="6" t="inlineStr">
        <is>
          <t>battery</t>
        </is>
      </c>
      <c r="B12" t="inlineStr"/>
      <c r="C12" t="inlineStr">
        <is>
          <t>A1</t>
        </is>
      </c>
      <c r="D12" s="6" t="inlineStr">
        <is>
          <t>1 / 1</t>
        </is>
      </c>
      <c r="E12" t="inlineStr"/>
      <c r="F12" t="inlineStr"/>
      <c r="G12" t="inlineStr">
        <is>
          <t>A</t>
        </is>
      </c>
      <c r="H12" t="inlineStr"/>
      <c r="I12" t="inlineStr">
        <is>
          <t>C-A</t>
        </is>
      </c>
      <c r="J12" t="inlineStr">
        <is>
          <t>DK-A</t>
        </is>
      </c>
      <c r="K12" t="n">
        <v>100</v>
      </c>
      <c r="L12" t="n">
        <v>100</v>
      </c>
      <c r="M12" s="2" t="n">
        <v>5</v>
      </c>
      <c r="N12" s="2" t="n">
        <v>5</v>
      </c>
      <c r="O12" t="n">
        <v>1</v>
      </c>
      <c r="P12" s="2" t="n">
        <v>5</v>
      </c>
      <c r="Q12" s="2" t="n">
        <v>5</v>
      </c>
      <c r="R12" s="3" t="inlineStr"/>
    </row>
    <row r="13">
      <c r="A13" s="6" t="inlineStr">
        <is>
          <t>battery</t>
        </is>
      </c>
      <c r="B13" t="inlineStr"/>
      <c r="C13" t="inlineStr">
        <is>
          <t>B1</t>
        </is>
      </c>
      <c r="D13" s="6" t="inlineStr">
        <is>
          <t>4 / 4</t>
        </is>
      </c>
      <c r="E13" t="inlineStr"/>
      <c r="F13" t="inlineStr"/>
      <c r="G13" t="inlineStr">
        <is>
          <t>B</t>
        </is>
      </c>
      <c r="H13" t="inlineStr"/>
      <c r="I13" t="inlineStr">
        <is>
          <t>C-B</t>
        </is>
      </c>
      <c r="J13" t="inlineStr">
        <is>
          <t>DK-B</t>
        </is>
      </c>
      <c r="K13" t="n">
        <v>100</v>
      </c>
      <c r="L13" t="n">
        <v>100</v>
      </c>
      <c r="M13" s="2" t="n">
        <v>3.5</v>
      </c>
      <c r="N13" s="2" t="n">
        <v>3.5</v>
      </c>
      <c r="O13" t="n">
        <v>10</v>
      </c>
      <c r="P13" s="2" t="n">
        <v>35</v>
      </c>
      <c r="Q13" s="2" t="n">
        <v>35</v>
      </c>
      <c r="R13" s="3" t="inlineStr"/>
    </row>
    <row r="14">
      <c r="A14" s="6" t="inlineStr">
        <is>
          <t>main</t>
        </is>
      </c>
      <c r="B14" t="inlineStr"/>
      <c r="C14" t="inlineStr">
        <is>
          <t>B2</t>
        </is>
      </c>
      <c r="D14" s="6" t="inlineStr">
        <is>
          <t>3 / 3</t>
        </is>
      </c>
      <c r="E14" t="inlineStr"/>
      <c r="F14" t="inlineStr"/>
      <c r="G14" t="inlineStr">
        <is>
          <t>B</t>
        </is>
      </c>
      <c r="H14" t="inlineStr"/>
      <c r="I14" t="inlineStr">
        <is>
          <t>C-B</t>
        </is>
      </c>
      <c r="J14" t="inlineStr">
        <is>
          <t>DK-B</t>
        </is>
      </c>
      <c r="K14" t="n">
        <v>100</v>
      </c>
      <c r="L14" t="n">
        <v>100</v>
      </c>
      <c r="M14" s="2" t="n">
        <v>3.5</v>
      </c>
      <c r="N14" s="2" t="n">
        <v>3.5</v>
      </c>
      <c r="O14" t="n">
        <v>10</v>
      </c>
      <c r="R14" s="3" t="inlineStr"/>
    </row>
    <row r="15">
      <c r="A15" s="6" t="inlineStr">
        <is>
          <t>control</t>
        </is>
      </c>
      <c r="B15" t="inlineStr"/>
      <c r="C15" t="inlineStr">
        <is>
          <t>B3</t>
        </is>
      </c>
      <c r="D15" s="6" t="inlineStr">
        <is>
          <t>3 / 3</t>
        </is>
      </c>
      <c r="E15" t="inlineStr"/>
      <c r="F15" t="inlineStr"/>
      <c r="G15" t="inlineStr">
        <is>
          <t>B</t>
        </is>
      </c>
      <c r="H15" t="inlineStr"/>
      <c r="I15" t="inlineStr">
        <is>
          <t>C-B</t>
        </is>
      </c>
      <c r="J15" t="inlineStr">
        <is>
          <t>DK-B</t>
        </is>
      </c>
      <c r="K15" t="n">
        <v>100</v>
      </c>
      <c r="L15" t="n">
        <v>100</v>
      </c>
      <c r="M15" s="2" t="n">
        <v>3.5</v>
      </c>
      <c r="N15" s="2" t="n">
        <v>3.5</v>
      </c>
      <c r="O15" t="n">
        <v>10</v>
      </c>
      <c r="R15" s="3" t="inlineStr"/>
    </row>
    <row r="16">
      <c r="A16" s="6" t="inlineStr">
        <is>
          <t>main</t>
        </is>
      </c>
      <c r="B16" t="inlineStr"/>
      <c r="C16" t="inlineStr">
        <is>
          <t>G1</t>
        </is>
      </c>
      <c r="D16" s="6" t="inlineStr">
        <is>
          <t>1 / 1</t>
        </is>
      </c>
      <c r="E16" t="inlineStr"/>
      <c r="F16" t="inlineStr"/>
      <c r="G16" t="inlineStr">
        <is>
          <t>G</t>
        </is>
      </c>
      <c r="H16" t="inlineStr"/>
      <c r="I16" t="inlineStr">
        <is>
          <t>C-G</t>
        </is>
      </c>
      <c r="J16" t="inlineStr">
        <is>
          <t>DK-G</t>
        </is>
      </c>
      <c r="K16" t="n">
        <v>100</v>
      </c>
      <c r="L16" t="n">
        <v>100</v>
      </c>
      <c r="M16" s="2" t="n">
        <v>5</v>
      </c>
      <c r="N16" s="2" t="n">
        <v>5</v>
      </c>
      <c r="O16" t="n">
        <v>1</v>
      </c>
      <c r="P16" s="2" t="n">
        <v>5</v>
      </c>
      <c r="Q16" s="2" t="n">
        <v>5</v>
      </c>
      <c r="R16" s="3" t="inlineStr"/>
    </row>
    <row r="17"/>
    <row r="18">
      <c r="O18" s="4" t="inlineStr">
        <is>
          <t>Project Total</t>
        </is>
      </c>
      <c r="P18" s="5">
        <f>SUM(P12:P16)</f>
        <v/>
      </c>
      <c r="Q18" s="5">
        <f>SUM(Q12:Q16)</f>
        <v/>
      </c>
    </row>
    <row r="19">
      <c r="O19" s="4" t="inlineStr">
        <is>
          <t>Cost Per Board Set</t>
        </is>
      </c>
      <c r="P19" s="5">
        <f>P18/1</f>
        <v/>
      </c>
      <c r="Q19" s="5">
        <f>Q18/1</f>
        <v/>
      </c>
    </row>
  </sheetData>
  <autoFilter ref="A11:R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6" customWidth="1" min="4" max="4"/>
    <col width="11" customWidth="1" min="5" max="5"/>
    <col width="16" customWidth="1" min="6" max="6"/>
    <col width="22" customWidth="1" min="7" max="7"/>
    <col width="17" customWidth="1" min="8" max="8"/>
    <col width="20" customWidth="1" min="9" max="9"/>
    <col width="12" customWidth="1" min="10" max="10"/>
  </cols>
  <sheetData>
    <row r="1">
      <c r="A1" s="1" t="inlineStr">
        <is>
          <t>MPN</t>
        </is>
      </c>
      <c r="B1" s="1" t="inlineStr">
        <is>
          <t>Design Item ID</t>
        </is>
      </c>
      <c r="C1" s="1" t="inlineStr">
        <is>
          <t>Supplier</t>
        </is>
      </c>
      <c r="D1" s="1" t="inlineStr">
        <is>
          <t>Supplier Part Number</t>
        </is>
      </c>
      <c r="E1" s="1" t="inlineStr">
        <is>
          <t>Stock</t>
        </is>
      </c>
      <c r="F1" s="1" t="inlineStr">
        <is>
          <t>Unit Price</t>
        </is>
      </c>
      <c r="G1" s="1" t="inlineStr">
        <is>
          <t>Pricing Quantity</t>
        </is>
      </c>
      <c r="H1" s="1" t="inlineStr">
        <is>
          <t>Total Price</t>
        </is>
      </c>
      <c r="I1" s="1" t="inlineStr">
        <is>
          <t>Required Stock</t>
        </is>
      </c>
      <c r="J1" s="1" t="inlineStr">
        <is>
          <t>Status</t>
        </is>
      </c>
    </row>
    <row r="2">
      <c r="A2" t="inlineStr">
        <is>
          <t>A</t>
        </is>
      </c>
      <c r="B2" t="inlineStr"/>
      <c r="C2" t="inlineStr">
        <is>
          <t>JLCPCB</t>
        </is>
      </c>
      <c r="D2" t="inlineStr">
        <is>
          <t>C-A</t>
        </is>
      </c>
      <c r="E2" t="n">
        <v>100</v>
      </c>
      <c r="F2" s="2" t="n">
        <v>5</v>
      </c>
      <c r="G2" t="n">
        <v>1</v>
      </c>
      <c r="H2" s="2" t="n">
        <v>5</v>
      </c>
      <c r="I2" t="n">
        <v>0</v>
      </c>
      <c r="J2" t="inlineStr"/>
    </row>
    <row r="3">
      <c r="A3" t="inlineStr">
        <is>
          <t>A</t>
        </is>
      </c>
      <c r="B3" t="inlineStr"/>
      <c r="C3" t="inlineStr">
        <is>
          <t>DigiKey</t>
        </is>
      </c>
      <c r="D3" t="inlineStr">
        <is>
          <t>DK-A</t>
        </is>
      </c>
      <c r="E3" t="n">
        <v>100</v>
      </c>
      <c r="F3" s="2" t="n">
        <v>5</v>
      </c>
      <c r="G3" t="n">
        <v>1</v>
      </c>
      <c r="H3" s="2" t="n">
        <v>5</v>
      </c>
      <c r="I3" t="n">
        <v>0</v>
      </c>
      <c r="J3" t="inlineStr">
        <is>
          <t>Found</t>
        </is>
      </c>
    </row>
    <row r="4">
      <c r="A4" t="inlineStr">
        <is>
          <t>B</t>
        </is>
      </c>
      <c r="B4" t="inlineStr"/>
      <c r="C4" t="inlineStr">
        <is>
          <t>JLCPCB</t>
        </is>
      </c>
      <c r="D4" t="inlineStr">
        <is>
          <t>C-B</t>
        </is>
      </c>
      <c r="E4" t="n">
        <v>100</v>
      </c>
      <c r="F4" s="2" t="n">
        <v>3.5</v>
      </c>
      <c r="G4" t="n">
        <v>10</v>
      </c>
      <c r="H4" s="2" t="n">
        <v>35</v>
      </c>
      <c r="I4" t="n">
        <v>0</v>
      </c>
      <c r="J4" t="inlineStr"/>
    </row>
    <row r="5">
      <c r="A5" t="inlineStr">
        <is>
          <t>B</t>
        </is>
      </c>
      <c r="B5" t="inlineStr"/>
      <c r="C5" t="inlineStr">
        <is>
          <t>DigiKey</t>
        </is>
      </c>
      <c r="D5" t="inlineStr">
        <is>
          <t>DK-B</t>
        </is>
      </c>
      <c r="E5" t="n">
        <v>100</v>
      </c>
      <c r="F5" s="2" t="n">
        <v>3.5</v>
      </c>
      <c r="G5" t="n">
        <v>10</v>
      </c>
      <c r="H5" s="2" t="n">
        <v>35</v>
      </c>
      <c r="I5" t="n">
        <v>0</v>
      </c>
      <c r="J5" t="inlineStr">
        <is>
          <t>Found</t>
        </is>
      </c>
    </row>
    <row r="6">
      <c r="A6" t="inlineStr">
        <is>
          <t>G</t>
        </is>
      </c>
      <c r="B6" t="inlineStr"/>
      <c r="C6" t="inlineStr">
        <is>
          <t>JLCPCB</t>
        </is>
      </c>
      <c r="D6" t="inlineStr">
        <is>
          <t>C-G</t>
        </is>
      </c>
      <c r="E6" t="n">
        <v>100</v>
      </c>
      <c r="F6" s="2" t="n">
        <v>5</v>
      </c>
      <c r="G6" t="n">
        <v>1</v>
      </c>
      <c r="H6" s="2" t="n">
        <v>5</v>
      </c>
      <c r="I6" t="n">
        <v>0</v>
      </c>
      <c r="J6" t="inlineStr"/>
    </row>
    <row r="7">
      <c r="A7" t="inlineStr">
        <is>
          <t>G</t>
        </is>
      </c>
      <c r="B7" t="inlineStr"/>
      <c r="C7" t="inlineStr">
        <is>
          <t>DigiKey</t>
        </is>
      </c>
      <c r="D7" t="inlineStr">
        <is>
          <t>DK-G</t>
        </is>
      </c>
      <c r="E7" t="n">
        <v>100</v>
      </c>
      <c r="F7" s="2" t="n">
        <v>5</v>
      </c>
      <c r="G7" t="n">
        <v>1</v>
      </c>
      <c r="H7" s="2" t="n">
        <v>5</v>
      </c>
      <c r="I7" t="n">
        <v>0</v>
      </c>
      <c r="J7" t="inlineStr">
        <is>
          <t>Found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2026-08-14T12:29:08Z</dcterms:created>
  <dcterms:modified xsi:type="dcterms:W3CDTF">2026-08-14T12:29:08Z</dcterms:modified>
</cp:coreProperties>
</file>